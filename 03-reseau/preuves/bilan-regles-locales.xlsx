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des tests" sheetId="1" state="visible" r:id="rId3"/>
    <sheet name="Alertes Lumma" sheetId="2" state="visible" r:id="rId4"/>
    <sheet name="Règ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" authorId="0">
      <text>
        <r>
          <rPr>
            <sz val="10"/>
            <rFont val="Arial"/>
            <family val="2"/>
          </rPr>
          <t xml:space="preserve">ET Open, SID 2066606 « Lumma Stealer Victim Fingerprinting Activity » : 1 alerte (requête Chrome, 23:05:39.577 UTC). Mesuré dans resume.md du 13/10/2026.</t>
        </r>
      </text>
    </comment>
  </commentList>
</comments>
</file>

<file path=xl/sharedStrings.xml><?xml version="1.0" encoding="utf-8"?>
<sst xmlns="http://schemas.openxmlformats.org/spreadsheetml/2006/main" count="94" uniqueCount="78">
  <si>
    <t xml:space="preserve">Règles Suricata locales 1000001 / 1000002 (Lumma) — bilan des tests</t>
  </si>
  <si>
    <t xml:space="preserve">Module 03 · detection-lab · état au 14/10/2026 — les deux règles sont validées</t>
  </si>
  <si>
    <t xml:space="preserve">#</t>
  </si>
  <si>
    <t xml:space="preserve">Test</t>
  </si>
  <si>
    <t xml:space="preserve">Jeu de données</t>
  </si>
  <si>
    <t xml:space="preserve">Attendu (alertes)</t>
  </si>
  <si>
    <t xml:space="preserve">Obtenu (alertes)</t>
  </si>
  <si>
    <t xml:space="preserve">Statut</t>
  </si>
  <si>
    <t xml:space="preserve">ET Open sur le même trafic</t>
  </si>
  <si>
    <t xml:space="preserve">Date</t>
  </si>
  <si>
    <t xml:space="preserve">Remarque</t>
  </si>
  <si>
    <t xml:space="preserve">Cas synthétiques — positifs</t>
  </si>
  <si>
    <t xml:space="preserve">regles/tests/generer-cas-lumma.py (cas 1 à 4)</t>
  </si>
  <si>
    <t xml:space="preserve">14/10/2026</t>
  </si>
  <si>
    <t xml:space="preserve">GET et POST pour Chrome et Edge ; 2 cas vers un autre nom d'hôte. Suricata 7.0.3.</t>
  </si>
  <si>
    <t xml:space="preserve">Cas synthétiques — négatifs</t>
  </si>
  <si>
    <t xml:space="preserve">regles/tests/generer-cas-lumma.py (cas 5 à 8)</t>
  </si>
  <si>
    <t xml:space="preserve">/favicon.ico, URI mal formée, autre chemin avec act=log, recherche contenant la chaîne.</t>
  </si>
  <si>
    <t xml:space="preserve">Capture réelle — Lumma</t>
  </si>
  <si>
    <t xml:space="preserve">2026-01-31-traffic-analysis-exercise.pcap</t>
  </si>
  <si>
    <t xml:space="preserve">Suricata 8.0.7, -S local.rules. ET 2066606 ne voit que la requête de Chrome.</t>
  </si>
  <si>
    <t xml:space="preserve">Capture réelle — NetSupport</t>
  </si>
  <si>
    <t xml:space="preserve">2026-02-28-traffic-analysis-exercise.pcap</t>
  </si>
  <si>
    <t xml:space="preserve">Autre famille, 264 POST HTTP malveillants : aucune confusion avec Lumma.</t>
  </si>
  <si>
    <t xml:space="preserve">Trafic normal — VM Windows du lab</t>
  </si>
  <si>
    <t xml:space="preserve">normal-2026-10-14.pcapng (pktmon, 1 h 36, 1 248 072 paquets)</t>
  </si>
  <si>
    <t xml:space="preserve">Suricata 8.0.7, -S local.rules. Poste sain : aucune alerte. Référence dominée par Windows Update, à refaire sur plusieurs heures.</t>
  </si>
  <si>
    <t xml:space="preserve">Synthèse</t>
  </si>
  <si>
    <t xml:space="preserve">Tests conformes</t>
  </si>
  <si>
    <t xml:space="preserve">Tests en écart</t>
  </si>
  <si>
    <t xml:space="preserve">Tests en attente</t>
  </si>
  <si>
    <t xml:space="preserve">Alertes des règles locales sur Lumma</t>
  </si>
  <si>
    <t xml:space="preserve">Alertes ET Open (2066606) sur Lumma</t>
  </si>
  <si>
    <t xml:space="preserve">Requêtes Lumma vues en plus par les règles locales</t>
  </si>
  <si>
    <t xml:space="preserve">Légende</t>
  </si>
  <si>
    <t xml:space="preserve">Texte bleu : valeur saisie (mesure relevée dans la sonde). Texte noir : formule.</t>
  </si>
  <si>
    <t xml:space="preserve">Le statut se calcule seul : modifier une valeur bleue de la colonne E pour rejouer un test met la ligne à jour.</t>
  </si>
  <si>
    <t xml:space="preserve">Commande de mesure : suricata -r &lt;capture&gt; -k none -S regles/local.rules -l /tmp/test-regles ; puis wc -l &lt; /tmp/test-regles/fast.log</t>
  </si>
  <si>
    <t xml:space="preserve">Source des valeurs : sorties Suricata relevées par Junior dans la sonde le 14/10/2026 (captures d'écran) et banc synthétique exécuté le même jour.</t>
  </si>
  <si>
    <t xml:space="preserve">Référence normale : capture personnelle non versionnée ; résumé public dans rapports/2026-10-14_215134_normal-2026-10-14/resume-public.md.</t>
  </si>
  <si>
    <t xml:space="preserve">Capture Lumma — alertes des règles locales</t>
  </si>
  <si>
    <t xml:space="preserve">Suricata 8.0.7, -S regles/local.rules · victime 10.1.21.58 → C2 153.92.1.49:80 · horodatage UTC (27/01/2026)</t>
  </si>
  <si>
    <t xml:space="preserve">Heure (UTC)</t>
  </si>
  <si>
    <t xml:space="preserve">SID</t>
  </si>
  <si>
    <t xml:space="preserve">Étape</t>
  </si>
  <si>
    <t xml:space="preserve">Navigateur</t>
  </si>
  <si>
    <t xml:space="preserve">Source</t>
  </si>
  <si>
    <t xml:space="preserve">Destination</t>
  </si>
  <si>
    <t xml:space="preserve">Vu par ET Open ?</t>
  </si>
  <si>
    <t xml:space="preserve">23:05:39.577694</t>
  </si>
  <si>
    <t xml:space="preserve">Enregistrement (GET /api/set_agent)</t>
  </si>
  <si>
    <t xml:space="preserve">Chrome</t>
  </si>
  <si>
    <t xml:space="preserve">10.1.21.58:54492</t>
  </si>
  <si>
    <t xml:space="preserve">153.92.1.49:80</t>
  </si>
  <si>
    <t xml:space="preserve">Oui — 2066606</t>
  </si>
  <si>
    <t xml:space="preserve">23:05:40.514473</t>
  </si>
  <si>
    <t xml:space="preserve">Envoi des données (POST act=log)</t>
  </si>
  <si>
    <t xml:space="preserve">Non — aucune règle</t>
  </si>
  <si>
    <t xml:space="preserve">23:05:47.406332</t>
  </si>
  <si>
    <t xml:space="preserve">Edge</t>
  </si>
  <si>
    <t xml:space="preserve">10.1.21.58:49295</t>
  </si>
  <si>
    <t xml:space="preserve">Non — ratée</t>
  </si>
  <si>
    <t xml:space="preserve">23:05:47.793196</t>
  </si>
  <si>
    <t xml:space="preserve">Total</t>
  </si>
  <si>
    <t xml:space="preserve">dont vues par ET Open :</t>
  </si>
  <si>
    <t xml:space="preserve">Les deux règles locales</t>
  </si>
  <si>
    <t xml:space="preserve">Méthode</t>
  </si>
  <si>
    <t xml:space="preserve">Indicateur (URI)</t>
  </si>
  <si>
    <t xml:space="preserve">Dépend du domaine, de l'adresse ou du port ?</t>
  </si>
  <si>
    <t xml:space="preserve">Pour lui échapper, l'attaquant doit…</t>
  </si>
  <si>
    <t xml:space="preserve">GET</t>
  </si>
  <si>
    <t xml:space="preserve">/api/set_agent?id=&lt;32 hex&gt;&amp;token=&lt;hex&gt;&amp;…&amp;agent=</t>
  </si>
  <si>
    <t xml:space="preserve">Non</t>
  </si>
  <si>
    <t xml:space="preserve">renommer le chemin ou ses paramètres, ou passer ce volet en HTTPS</t>
  </si>
  <si>
    <t xml:space="preserve">POST</t>
  </si>
  <si>
    <t xml:space="preserve">/api/set_agent?id=…&amp;agent=…&amp;act=log</t>
  </si>
  <si>
    <t xml:space="preserve">idem</t>
  </si>
  <si>
    <t xml:space="preserve">Indicateur observé dans http.log de la capture lumma-2026-01-31, pas recopié du compte rendu. Fichier : 03-reseau/regles/local.rules.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</si>
</sst>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A"/>
        <bgColor rgb="FF1E563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CC"/>
      </left>
      <right style="thin">
        <color rgb="FFBFC7CC"/>
      </right>
      <top style="thin">
        <color rgb="FFBFC7CC"/>
      </top>
      <bottom style="thin">
        <color rgb="FFBFC7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5631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990000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7F6000"/>
      <rgbColor rgb="FF800080"/>
      <rgbColor rgb="FF008080"/>
      <rgbColor rgb="FFBFC7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E5631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5" hidden="false" customHeight="true" outlineLevel="0" collapsed="false">
      <c r="A5" s="4" t="n">
        <v>1</v>
      </c>
      <c r="B5" s="5" t="s">
        <v>11</v>
      </c>
      <c r="C5" s="5" t="s">
        <v>12</v>
      </c>
      <c r="D5" s="6" t="n">
        <v>4</v>
      </c>
      <c r="E5" s="6" t="n">
        <v>4</v>
      </c>
      <c r="F5" s="4" t="str">
        <f aca="false">IF(E5="","En attente",IF(E5=D5,"Conforme","Écart"))</f>
        <v>Conforme</v>
      </c>
      <c r="G5" s="4"/>
      <c r="H5" s="4" t="s">
        <v>13</v>
      </c>
      <c r="I5" s="5" t="s">
        <v>14</v>
      </c>
    </row>
    <row r="6" customFormat="false" ht="45" hidden="false" customHeight="true" outlineLevel="0" collapsed="false">
      <c r="A6" s="4" t="n">
        <v>2</v>
      </c>
      <c r="B6" s="5" t="s">
        <v>15</v>
      </c>
      <c r="C6" s="5" t="s">
        <v>16</v>
      </c>
      <c r="D6" s="6" t="n">
        <v>0</v>
      </c>
      <c r="E6" s="6" t="n">
        <v>0</v>
      </c>
      <c r="F6" s="4" t="str">
        <f aca="false">IF(E6="","En attente",IF(E6=D6,"Conforme","Écart"))</f>
        <v>Conforme</v>
      </c>
      <c r="G6" s="4"/>
      <c r="H6" s="4" t="s">
        <v>13</v>
      </c>
      <c r="I6" s="5" t="s">
        <v>17</v>
      </c>
    </row>
    <row r="7" customFormat="false" ht="45" hidden="false" customHeight="true" outlineLevel="0" collapsed="false">
      <c r="A7" s="4" t="n">
        <v>3</v>
      </c>
      <c r="B7" s="5" t="s">
        <v>18</v>
      </c>
      <c r="C7" s="5" t="s">
        <v>19</v>
      </c>
      <c r="D7" s="6" t="n">
        <v>4</v>
      </c>
      <c r="E7" s="6" t="n">
        <v>4</v>
      </c>
      <c r="F7" s="4" t="str">
        <f aca="false">IF(E7="","En attente",IF(E7=D7,"Conforme","Écart"))</f>
        <v>Conforme</v>
      </c>
      <c r="G7" s="6" t="n">
        <v>1</v>
      </c>
      <c r="H7" s="4" t="s">
        <v>13</v>
      </c>
      <c r="I7" s="5" t="s">
        <v>20</v>
      </c>
    </row>
    <row r="8" customFormat="false" ht="45" hidden="false" customHeight="true" outlineLevel="0" collapsed="false">
      <c r="A8" s="4" t="n">
        <v>4</v>
      </c>
      <c r="B8" s="5" t="s">
        <v>21</v>
      </c>
      <c r="C8" s="5" t="s">
        <v>22</v>
      </c>
      <c r="D8" s="6" t="n">
        <v>0</v>
      </c>
      <c r="E8" s="6" t="n">
        <v>0</v>
      </c>
      <c r="F8" s="4" t="str">
        <f aca="false">IF(E8="","En attente",IF(E8=D8,"Conforme","Écart"))</f>
        <v>Conforme</v>
      </c>
      <c r="G8" s="4"/>
      <c r="H8" s="4" t="s">
        <v>13</v>
      </c>
      <c r="I8" s="5" t="s">
        <v>23</v>
      </c>
    </row>
    <row r="9" customFormat="false" ht="45" hidden="false" customHeight="true" outlineLevel="0" collapsed="false">
      <c r="A9" s="4" t="n">
        <v>5</v>
      </c>
      <c r="B9" s="5" t="s">
        <v>24</v>
      </c>
      <c r="C9" s="5" t="s">
        <v>25</v>
      </c>
      <c r="D9" s="6" t="n">
        <v>0</v>
      </c>
      <c r="E9" s="6" t="n">
        <v>0</v>
      </c>
      <c r="F9" s="4" t="str">
        <f aca="false">IF(E9="","En attente",IF(E9=D9,"Conforme","Écart"))</f>
        <v>Conforme</v>
      </c>
      <c r="G9" s="4"/>
      <c r="H9" s="4" t="s">
        <v>13</v>
      </c>
      <c r="I9" s="5" t="s">
        <v>26</v>
      </c>
    </row>
    <row r="11" customFormat="false" ht="15" hidden="false" customHeight="false" outlineLevel="0" collapsed="false">
      <c r="B11" s="7" t="s">
        <v>27</v>
      </c>
    </row>
    <row r="12" customFormat="false" ht="15" hidden="false" customHeight="false" outlineLevel="0" collapsed="false">
      <c r="B12" s="8" t="s">
        <v>28</v>
      </c>
      <c r="D12" s="9" t="n">
        <f aca="false">COUNTIF(F5:F9,"Conforme")</f>
        <v>5</v>
      </c>
    </row>
    <row r="13" customFormat="false" ht="15" hidden="false" customHeight="false" outlineLevel="0" collapsed="false">
      <c r="B13" s="8" t="s">
        <v>29</v>
      </c>
      <c r="D13" s="9" t="n">
        <f aca="false">COUNTIF(F5:F9,"Écart")</f>
        <v>0</v>
      </c>
    </row>
    <row r="14" customFormat="false" ht="15" hidden="false" customHeight="false" outlineLevel="0" collapsed="false">
      <c r="B14" s="8" t="s">
        <v>30</v>
      </c>
      <c r="D14" s="9" t="n">
        <f aca="false">COUNTIF(F5:F9,"En attente")</f>
        <v>0</v>
      </c>
    </row>
    <row r="15" customFormat="false" ht="15" hidden="false" customHeight="false" outlineLevel="0" collapsed="false">
      <c r="B15" s="8" t="s">
        <v>31</v>
      </c>
      <c r="D15" s="9" t="n">
        <f aca="false">E7</f>
        <v>4</v>
      </c>
    </row>
    <row r="16" customFormat="false" ht="15" hidden="false" customHeight="false" outlineLevel="0" collapsed="false">
      <c r="B16" s="8" t="s">
        <v>32</v>
      </c>
      <c r="D16" s="9" t="n">
        <f aca="false">G7</f>
        <v>1</v>
      </c>
    </row>
    <row r="17" customFormat="false" ht="15" hidden="false" customHeight="false" outlineLevel="0" collapsed="false">
      <c r="B17" s="8" t="s">
        <v>33</v>
      </c>
      <c r="D17" s="9" t="n">
        <f aca="false">E7-G7</f>
        <v>3</v>
      </c>
    </row>
    <row r="19" customFormat="false" ht="15" hidden="false" customHeight="false" outlineLevel="0" collapsed="false">
      <c r="B19" s="10" t="s">
        <v>34</v>
      </c>
    </row>
    <row r="20" customFormat="false" ht="15" hidden="false" customHeight="false" outlineLevel="0" collapsed="false">
      <c r="B20" s="11" t="s">
        <v>35</v>
      </c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B21" s="11" t="s">
        <v>36</v>
      </c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B22" s="11" t="s">
        <v>37</v>
      </c>
      <c r="C22" s="11"/>
      <c r="D22" s="11"/>
      <c r="E22" s="11"/>
      <c r="F22" s="11"/>
      <c r="G22" s="11"/>
      <c r="H22" s="11"/>
      <c r="I22" s="11"/>
    </row>
    <row r="23" customFormat="false" ht="15" hidden="false" customHeight="false" outlineLevel="0" collapsed="false">
      <c r="B23" s="11" t="s">
        <v>38</v>
      </c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B24" s="11" t="s">
        <v>39</v>
      </c>
      <c r="C24" s="11"/>
      <c r="D24" s="11"/>
      <c r="E24" s="11"/>
      <c r="F24" s="11"/>
      <c r="G24" s="11"/>
      <c r="H24" s="11"/>
      <c r="I24" s="11"/>
    </row>
  </sheetData>
  <mergeCells count="5">
    <mergeCell ref="B20:I20"/>
    <mergeCell ref="B21:I21"/>
    <mergeCell ref="B22:I22"/>
    <mergeCell ref="B23:I23"/>
    <mergeCell ref="B24:I24"/>
  </mergeCells>
  <conditionalFormatting sqref="F5:F9">
    <cfRule type="expression" priority="2" aboveAverage="0" equalAverage="0" bottom="0" percent="0" rank="0" text="" dxfId="0">
      <formula>F5="Conforme"</formula>
    </cfRule>
    <cfRule type="expression" priority="3" aboveAverage="0" equalAverage="0" bottom="0" percent="0" rank="0" text="" dxfId="1">
      <formula>F5="Écart"</formula>
    </cfRule>
    <cfRule type="expression" priority="4" aboveAverage="0" equalAverage="0" bottom="0" percent="0" rank="0" text="" dxfId="2">
      <formula>F5="En attente"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6" t="s">
        <v>49</v>
      </c>
      <c r="B5" s="6" t="n">
        <v>1000001</v>
      </c>
      <c r="C5" s="5" t="s">
        <v>50</v>
      </c>
      <c r="D5" s="4" t="s">
        <v>51</v>
      </c>
      <c r="E5" s="5" t="s">
        <v>52</v>
      </c>
      <c r="F5" s="5" t="s">
        <v>53</v>
      </c>
      <c r="G5" s="5" t="s">
        <v>54</v>
      </c>
    </row>
    <row r="6" customFormat="false" ht="15" hidden="false" customHeight="false" outlineLevel="0" collapsed="false">
      <c r="A6" s="6" t="s">
        <v>55</v>
      </c>
      <c r="B6" s="6" t="n">
        <v>1000002</v>
      </c>
      <c r="C6" s="5" t="s">
        <v>56</v>
      </c>
      <c r="D6" s="4" t="s">
        <v>51</v>
      </c>
      <c r="E6" s="5" t="s">
        <v>52</v>
      </c>
      <c r="F6" s="5" t="s">
        <v>53</v>
      </c>
      <c r="G6" s="5" t="s">
        <v>57</v>
      </c>
    </row>
    <row r="7" customFormat="false" ht="15" hidden="false" customHeight="false" outlineLevel="0" collapsed="false">
      <c r="A7" s="6" t="s">
        <v>58</v>
      </c>
      <c r="B7" s="6" t="n">
        <v>1000001</v>
      </c>
      <c r="C7" s="5" t="s">
        <v>50</v>
      </c>
      <c r="D7" s="4" t="s">
        <v>59</v>
      </c>
      <c r="E7" s="5" t="s">
        <v>60</v>
      </c>
      <c r="F7" s="5" t="s">
        <v>53</v>
      </c>
      <c r="G7" s="5" t="s">
        <v>61</v>
      </c>
    </row>
    <row r="8" customFormat="false" ht="15" hidden="false" customHeight="false" outlineLevel="0" collapsed="false">
      <c r="A8" s="6" t="s">
        <v>62</v>
      </c>
      <c r="B8" s="6" t="n">
        <v>1000002</v>
      </c>
      <c r="C8" s="5" t="s">
        <v>56</v>
      </c>
      <c r="D8" s="4" t="s">
        <v>59</v>
      </c>
      <c r="E8" s="5" t="s">
        <v>60</v>
      </c>
      <c r="F8" s="5" t="s">
        <v>53</v>
      </c>
      <c r="G8" s="5" t="s">
        <v>57</v>
      </c>
    </row>
    <row r="10" customFormat="false" ht="15" hidden="false" customHeight="false" outlineLevel="0" collapsed="false">
      <c r="A10" s="10" t="s">
        <v>63</v>
      </c>
      <c r="B10" s="10" t="n">
        <f aca="false">COUNT(B5:B8)</f>
        <v>4</v>
      </c>
      <c r="C10" s="8" t="s">
        <v>64</v>
      </c>
      <c r="D10" s="10" t="n">
        <f aca="false">COUNTIF(G5:G8,"Oui*")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65</v>
      </c>
    </row>
    <row r="3" customFormat="false" ht="39.55" hidden="false" customHeight="false" outlineLevel="0" collapsed="false">
      <c r="A3" s="3" t="s">
        <v>43</v>
      </c>
      <c r="B3" s="3" t="s">
        <v>66</v>
      </c>
      <c r="C3" s="3" t="s">
        <v>67</v>
      </c>
      <c r="D3" s="3" t="s">
        <v>68</v>
      </c>
      <c r="E3" s="3" t="s">
        <v>69</v>
      </c>
    </row>
    <row r="4" customFormat="false" ht="26.85" hidden="false" customHeight="false" outlineLevel="0" collapsed="false">
      <c r="A4" s="4" t="n">
        <v>1000001</v>
      </c>
      <c r="B4" s="4" t="s">
        <v>70</v>
      </c>
      <c r="C4" s="5" t="s">
        <v>71</v>
      </c>
      <c r="D4" s="4" t="s">
        <v>72</v>
      </c>
      <c r="E4" s="5" t="s">
        <v>73</v>
      </c>
    </row>
    <row r="5" customFormat="false" ht="15" hidden="false" customHeight="false" outlineLevel="0" collapsed="false">
      <c r="A5" s="4" t="n">
        <v>1000002</v>
      </c>
      <c r="B5" s="4" t="s">
        <v>74</v>
      </c>
      <c r="C5" s="5" t="s">
        <v>75</v>
      </c>
      <c r="D5" s="4" t="s">
        <v>72</v>
      </c>
      <c r="E5" s="5" t="s">
        <v>76</v>
      </c>
    </row>
    <row r="7" customFormat="false" ht="15" hidden="false" customHeight="false" outlineLevel="0" collapsed="false">
      <c r="A7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2026-10-14T22:06:51Z</dcterms:created>
  <dc:creator>openpyxl</dc:creator>
  <dc:description/>
  <dc:language>en-US</dc:language>
  <cp:lastModifiedBy/>
  <dcterms:modified xsi:type="dcterms:W3CDTF">2026-10-14T22:06:51Z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